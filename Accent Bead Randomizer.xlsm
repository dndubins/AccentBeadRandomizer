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ddubi\Downloads\"/>
    </mc:Choice>
  </mc:AlternateContent>
  <xr:revisionPtr revIDLastSave="0" documentId="13_ncr:1_{518EC019-4FBD-4F16-9378-A2C94C08925F}" xr6:coauthVersionLast="47" xr6:coauthVersionMax="47" xr10:uidLastSave="{00000000-0000-0000-0000-000000000000}"/>
  <bookViews>
    <workbookView xWindow="3540" yWindow="210" windowWidth="20055" windowHeight="15270" xr2:uid="{95740A4D-AFA2-4119-AABF-2A3D50DDBAFE}"/>
  </bookViews>
  <sheets>
    <sheet name="By Chance" sheetId="1" r:id="rId1"/>
    <sheet name="By Wandering" sheetId="2" r:id="rId2"/>
    <sheet name="n Colours" sheetId="3" r:id="rId3"/>
  </sheets>
  <functionGroups builtInGroupCount="19"/>
  <definedNames>
    <definedName name="_xlnm.Print_Area" localSheetId="0">'By Chance'!$A$2:$W$32</definedName>
    <definedName name="_xlnm.Print_Area" localSheetId="1">'By Wandering'!$A$2:$W$32</definedName>
    <definedName name="_xlnm.Print_Area" localSheetId="2">'n Colours'!$A$2:$W$32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2" i="3" l="1"/>
  <c r="D23" i="3"/>
  <c r="D24" i="3"/>
  <c r="D25" i="3"/>
  <c r="D26" i="3"/>
  <c r="D27" i="3"/>
  <c r="D28" i="3"/>
  <c r="D29" i="3"/>
  <c r="D30" i="3"/>
  <c r="D31" i="3"/>
  <c r="D32" i="3"/>
  <c r="D33" i="3"/>
  <c r="D34" i="3"/>
  <c r="D35" i="3"/>
  <c r="D36" i="3"/>
  <c r="D37" i="3"/>
  <c r="D38" i="3"/>
  <c r="D39" i="3"/>
  <c r="D40" i="3"/>
  <c r="D41" i="3"/>
  <c r="D42" i="3"/>
  <c r="C22" i="3"/>
  <c r="C23" i="3"/>
  <c r="C24" i="3"/>
  <c r="C25" i="3"/>
  <c r="C26" i="3"/>
  <c r="C27" i="3"/>
  <c r="C28" i="3"/>
  <c r="C29" i="3"/>
  <c r="C30" i="3"/>
  <c r="C31" i="3"/>
  <c r="C32" i="3"/>
  <c r="C33" i="3"/>
  <c r="C34" i="3"/>
  <c r="C35" i="3"/>
  <c r="C36" i="3"/>
  <c r="C37" i="3"/>
  <c r="C38" i="3"/>
  <c r="C39" i="3"/>
  <c r="C40" i="3"/>
  <c r="C41" i="3"/>
  <c r="C42" i="3"/>
  <c r="B42" i="3"/>
  <c r="B41" i="3"/>
  <c r="B40" i="3"/>
  <c r="B39" i="3"/>
  <c r="B38" i="3"/>
  <c r="B37" i="3"/>
  <c r="B36" i="3"/>
  <c r="B35" i="3"/>
  <c r="B34" i="3"/>
  <c r="B33" i="3"/>
  <c r="B32" i="3"/>
  <c r="B31" i="3"/>
  <c r="B30" i="3"/>
  <c r="B29" i="3"/>
  <c r="B28" i="3"/>
  <c r="B27" i="3"/>
  <c r="B26" i="3"/>
  <c r="B25" i="3"/>
  <c r="B24" i="3"/>
  <c r="B23" i="3"/>
  <c r="B22" i="3"/>
  <c r="B21" i="3"/>
  <c r="C21" i="3" s="1"/>
  <c r="D21" i="3" s="1"/>
  <c r="B20" i="3"/>
  <c r="C20" i="3" s="1"/>
  <c r="D20" i="3" s="1"/>
  <c r="B19" i="3"/>
  <c r="C19" i="3" s="1"/>
  <c r="B18" i="3"/>
  <c r="C18" i="3" s="1"/>
  <c r="B17" i="3"/>
  <c r="C17" i="3" s="1"/>
  <c r="C16" i="3"/>
  <c r="C6" i="3"/>
  <c r="D7" i="2"/>
  <c r="C9" i="2"/>
  <c r="C9" i="1"/>
  <c r="D17" i="3" l="1"/>
  <c r="D18" i="3"/>
  <c r="D19" i="3"/>
  <c r="D16" i="3" l="1"/>
</calcChain>
</file>

<file path=xl/sharedStrings.xml><?xml version="1.0" encoding="utf-8"?>
<sst xmlns="http://schemas.openxmlformats.org/spreadsheetml/2006/main" count="77" uniqueCount="45">
  <si>
    <t>Number of Accent Beads:</t>
  </si>
  <si>
    <t>inches</t>
  </si>
  <si>
    <t>Restricted Space at Ends:</t>
  </si>
  <si>
    <t>Bead 1</t>
  </si>
  <si>
    <t>Bead 2</t>
  </si>
  <si>
    <t>Bead 3</t>
  </si>
  <si>
    <t>Bead 4</t>
  </si>
  <si>
    <t>Bead 5</t>
  </si>
  <si>
    <t>Bead 6</t>
  </si>
  <si>
    <t>Minimum Distance Between Beads:</t>
  </si>
  <si>
    <t>Bead Location (inches)</t>
  </si>
  <si>
    <t>Bead #</t>
  </si>
  <si>
    <t>inches (set to 0.1 to allow adjacent accent beads)</t>
  </si>
  <si>
    <t>beads</t>
  </si>
  <si>
    <t>A David and Helen Design Endeavour</t>
  </si>
  <si>
    <t>Length of Strand:</t>
  </si>
  <si>
    <t>Bead 7</t>
  </si>
  <si>
    <t>Bead 8</t>
  </si>
  <si>
    <t>Bead 9</t>
  </si>
  <si>
    <t>Bead 10</t>
  </si>
  <si>
    <t>|----+----|----+----|----+----|----+----|----+----|----+----|----+----|----+----|----+----|----+----|----+----|----+----|----+----|----+----|----+----|----+----|----+----|----+----|----+----|----+----|----+----|----+----|----+----|----+----|----+----|----+----|----+----|</t>
  </si>
  <si>
    <t>0         1         2         3         4         5         6         7         8         9        10        11        12        13        14        15        16        17        18        19        20        21        22        23        24        25        26        27 inches</t>
  </si>
  <si>
    <t>times</t>
  </si>
  <si>
    <t>Max Wandering Distance:</t>
  </si>
  <si>
    <t># Wraps Around Axis:</t>
  </si>
  <si>
    <t>Beads Overlayed After Wrapping:</t>
  </si>
  <si>
    <t>|----+----|----+----|----+----|----+----|----+----|----+----|----+----|----+</t>
  </si>
  <si>
    <t>0         1         2         3         4         5         6         7      inches</t>
  </si>
  <si>
    <t>Beads wrapped once. For multiple wraps, overlayed beads will appear here.</t>
  </si>
  <si>
    <t>Wrapped Length:</t>
  </si>
  <si>
    <t>mm</t>
  </si>
  <si>
    <t>Number of Beads:</t>
  </si>
  <si>
    <t>Number</t>
  </si>
  <si>
    <t>Percent</t>
  </si>
  <si>
    <t>Total:</t>
  </si>
  <si>
    <t>------------O----O------O-----------O-------O---------O---O--O--------------</t>
  </si>
  <si>
    <t>-----------------O-----------------------------------------------------------O-O---------------------------------O------------O--------------O-----------------O------------------------------------O-----------O----------O---------------------------------------------------</t>
  </si>
  <si>
    <t>-----------------O-------------------------------------------------</t>
  </si>
  <si>
    <t>----------O-O---------------------------------O------------O-------</t>
  </si>
  <si>
    <t>-------O-----------------O------------------------------------O----</t>
  </si>
  <si>
    <t>-------O----------O------------------------------------------------</t>
  </si>
  <si>
    <t>Max # Adjacent Beads of Same Type:</t>
  </si>
  <si>
    <t>Number of Bead Types:</t>
  </si>
  <si>
    <t>Bead Diameter:</t>
  </si>
  <si>
    <t>CCBACACABBACABCBBAACABBC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</si>
</sst>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8"/>
      <name val="Calibri"/>
      <family val="2"/>
      <scheme val="minor"/>
    </font>
    <font>
      <b/>
      <sz val="11"/>
      <color rgb="FFFF0000"/>
      <name val="Calibri"/>
      <family val="2"/>
      <scheme val="minor"/>
    </font>
    <font>
      <b/>
      <sz val="9"/>
      <color rgb="FF663300"/>
      <name val="Courier New"/>
      <family val="3"/>
    </font>
    <font>
      <sz val="24"/>
      <color theme="1"/>
      <name val="Bernadette"/>
      <family val="3"/>
    </font>
    <font>
      <b/>
      <i/>
      <sz val="12"/>
      <color theme="1"/>
      <name val="Ink Free"/>
      <family val="4"/>
    </font>
    <font>
      <b/>
      <sz val="11"/>
      <color theme="1"/>
      <name val="Bahnschrift Light"/>
      <family val="2"/>
    </font>
    <font>
      <sz val="11"/>
      <color rgb="FF0070C0"/>
      <name val="Calibri"/>
      <family val="2"/>
      <scheme val="minor"/>
    </font>
    <font>
      <sz val="11"/>
      <color theme="1"/>
      <name val="Calibri"/>
      <family val="2"/>
      <scheme val="minor"/>
    </font>
    <font>
      <b/>
      <sz val="8"/>
      <color rgb="FF663300"/>
      <name val="Courier New"/>
      <family val="3"/>
    </font>
    <font>
      <sz val="28"/>
      <color theme="1"/>
      <name val="Courier New"/>
      <family val="3"/>
    </font>
  </fonts>
  <fills count="6">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C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9" fontId="9" fillId="0" borderId="0" applyFont="0" applyFill="0" applyBorder="0" applyAlignment="0" applyProtection="0"/>
  </cellStyleXfs>
  <cellXfs count="24">
    <xf numFmtId="0" fontId="0" fillId="0" borderId="0" xfId="0"/>
    <xf numFmtId="0" fontId="0" fillId="2" borderId="0" xfId="0" applyFill="1"/>
    <xf numFmtId="0" fontId="3" fillId="2" borderId="2" xfId="0" applyFont="1" applyFill="1" applyBorder="1"/>
    <xf numFmtId="0" fontId="3" fillId="2" borderId="1" xfId="0" applyFont="1" applyFill="1" applyBorder="1"/>
    <xf numFmtId="0" fontId="3" fillId="2" borderId="3" xfId="0" applyFont="1" applyFill="1" applyBorder="1"/>
    <xf numFmtId="0" fontId="0" fillId="2" borderId="0" xfId="0" applyFill="1" applyAlignment="1">
      <alignment horizontal="right"/>
    </xf>
    <xf numFmtId="0" fontId="4" fillId="2" borderId="0" xfId="0" applyFont="1" applyFill="1"/>
    <xf numFmtId="0" fontId="4" fillId="5" borderId="0" xfId="0" applyFont="1" applyFill="1"/>
    <xf numFmtId="0" fontId="0" fillId="5" borderId="0" xfId="0" applyFill="1"/>
    <xf numFmtId="0" fontId="5" fillId="2" borderId="0" xfId="0" applyFont="1" applyFill="1" applyAlignment="1">
      <alignment vertical="top"/>
    </xf>
    <xf numFmtId="0" fontId="6" fillId="2" borderId="0" xfId="0" applyFont="1" applyFill="1"/>
    <xf numFmtId="0" fontId="7" fillId="2" borderId="0" xfId="0" applyFont="1" applyFill="1"/>
    <xf numFmtId="0" fontId="6" fillId="2" borderId="0" xfId="0" applyFont="1" applyFill="1" applyAlignment="1">
      <alignment horizontal="right" vertical="top"/>
    </xf>
    <xf numFmtId="0" fontId="0" fillId="4" borderId="0" xfId="0" applyFill="1" applyAlignment="1">
      <alignment horizontal="center"/>
    </xf>
    <xf numFmtId="0" fontId="1" fillId="3" borderId="0" xfId="0" applyFont="1" applyFill="1" applyAlignment="1">
      <alignment horizontal="center" vertical="top" wrapText="1"/>
    </xf>
    <xf numFmtId="0" fontId="1" fillId="2" borderId="0" xfId="0" applyFont="1" applyFill="1"/>
    <xf numFmtId="0" fontId="8" fillId="2" borderId="0" xfId="0" applyFont="1" applyFill="1"/>
    <xf numFmtId="0" fontId="1" fillId="2" borderId="0" xfId="0" applyFont="1" applyFill="1" applyAlignment="1">
      <alignment horizontal="right"/>
    </xf>
    <xf numFmtId="0" fontId="1" fillId="3" borderId="0" xfId="0" applyFont="1" applyFill="1"/>
    <xf numFmtId="0" fontId="0" fillId="4" borderId="0" xfId="0" applyFill="1"/>
    <xf numFmtId="9" fontId="0" fillId="4" borderId="0" xfId="1" applyFont="1" applyFill="1"/>
    <xf numFmtId="9" fontId="0" fillId="4" borderId="0" xfId="0" applyNumberFormat="1" applyFill="1"/>
    <xf numFmtId="0" fontId="10" fillId="5" borderId="0" xfId="0" applyFont="1" applyFill="1"/>
    <xf numFmtId="0" fontId="11" fillId="2" borderId="0" xfId="0" applyFont="1" applyFill="1"/>
  </cellXfs>
  <cellStyles count="2">
    <cellStyle name="Normal" xfId="0" builtinId="0"/>
    <cellStyle name="Percent" xfId="1" builtinId="5"/>
  </cellStyles>
  <dxfs count="0"/>
  <tableStyles count="0" defaultTableStyle="TableStyleMedium2" defaultPivotStyle="PivotStyleLight16"/>
  <colors>
    <mruColors>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ByNumber" textlink="">
      <xdr:nvSpPr>
        <xdr:cNvPr id="2" name="Rectangle 1">
          <a:extLst>
            <a:ext uri="{FF2B5EF4-FFF2-40B4-BE49-F238E27FC236}">
              <a16:creationId xmlns:a16="http://schemas.microsoft.com/office/drawing/2014/main" id="{1F8CD433-9B21-2A65-E33A-D64B5276841F}"/>
            </a:ext>
          </a:extLst>
        </xdr:cNvPr>
        <xdr:cNvSpPr/>
      </xdr:nvSpPr>
      <xdr:spPr>
        <a:xfrm>
          <a:off x="3829050" y="771525"/>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130D8927-334F-63D8-620D-9E14185A7269}"/>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523875</xdr:colOff>
      <xdr:row>1</xdr:row>
      <xdr:rowOff>276226</xdr:rowOff>
    </xdr:from>
    <xdr:to>
      <xdr:col>13</xdr:col>
      <xdr:colOff>581025</xdr:colOff>
      <xdr:row>7</xdr:row>
      <xdr:rowOff>38100</xdr:rowOff>
    </xdr:to>
    <xdr:sp macro="" textlink="">
      <xdr:nvSpPr>
        <xdr:cNvPr id="4" name="TextBox 3">
          <a:extLst>
            <a:ext uri="{FF2B5EF4-FFF2-40B4-BE49-F238E27FC236}">
              <a16:creationId xmlns:a16="http://schemas.microsoft.com/office/drawing/2014/main" id="{0FA416A0-D64F-4D43-8636-19741D76E25E}"/>
            </a:ext>
          </a:extLst>
        </xdr:cNvPr>
        <xdr:cNvSpPr txBox="1"/>
      </xdr:nvSpPr>
      <xdr:spPr>
        <a:xfrm>
          <a:off x="6705600" y="466726"/>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"Very Random"</a:t>
          </a:r>
        </a:p>
        <a:p>
          <a:r>
            <a:rPr lang="en-US" sz="1100" i="1">
              <a:solidFill>
                <a:srgbClr val="002060"/>
              </a:solidFill>
            </a:rPr>
            <a:t>This algorithm randomly places the accent beads throughout</a:t>
          </a:r>
          <a:r>
            <a:rPr lang="en-US" sz="1100" i="1" baseline="0">
              <a:solidFill>
                <a:srgbClr val="002060"/>
              </a:solidFill>
            </a:rPr>
            <a:t> the allowed zone. If beads are placed closer than the minimum distance between beads allowed, the routine iterates until a solution is found. The algorithm does not ensure an even distribution of accent beads.</a:t>
          </a:r>
          <a:endParaRPr lang="en-US" sz="1100" i="1">
            <a:solidFill>
              <a:srgbClr val="00206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ByWandering" textlink="">
      <xdr:nvSpPr>
        <xdr:cNvPr id="2" name="Rectangle 1">
          <a:extLst>
            <a:ext uri="{FF2B5EF4-FFF2-40B4-BE49-F238E27FC236}">
              <a16:creationId xmlns:a16="http://schemas.microsoft.com/office/drawing/2014/main" id="{151D0365-A4B8-446E-830B-5764AB1724B4}"/>
            </a:ext>
          </a:extLst>
        </xdr:cNvPr>
        <xdr:cNvSpPr/>
      </xdr:nvSpPr>
      <xdr:spPr>
        <a:xfrm>
          <a:off x="3829050" y="895350"/>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5B0206EA-71B0-496F-B064-439F98A05A52}"/>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542925</xdr:colOff>
      <xdr:row>1</xdr:row>
      <xdr:rowOff>247650</xdr:rowOff>
    </xdr:from>
    <xdr:to>
      <xdr:col>13</xdr:col>
      <xdr:colOff>600075</xdr:colOff>
      <xdr:row>7</xdr:row>
      <xdr:rowOff>9524</xdr:rowOff>
    </xdr:to>
    <xdr:sp macro="" textlink="">
      <xdr:nvSpPr>
        <xdr:cNvPr id="5" name="TextBox 4">
          <a:extLst>
            <a:ext uri="{FF2B5EF4-FFF2-40B4-BE49-F238E27FC236}">
              <a16:creationId xmlns:a16="http://schemas.microsoft.com/office/drawing/2014/main" id="{B80022B5-65E7-4A0E-92E1-7AE6471DB3AE}"/>
            </a:ext>
          </a:extLst>
        </xdr:cNvPr>
        <xdr:cNvSpPr txBox="1"/>
      </xdr:nvSpPr>
      <xdr:spPr>
        <a:xfrm>
          <a:off x="6724650" y="438150"/>
          <a:ext cx="3105150" cy="12858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"Evenly Scattered"</a:t>
          </a:r>
        </a:p>
        <a:p>
          <a:r>
            <a:rPr lang="en-US" sz="1100" i="1">
              <a:solidFill>
                <a:srgbClr val="002060"/>
              </a:solidFill>
              <a:effectLst/>
              <a:latin typeface="+mn-lt"/>
              <a:ea typeface="+mn-ea"/>
              <a:cs typeface="+mn-cs"/>
            </a:rPr>
            <a:t>This algorithm starts at evenly spaced accent beads, and lets them wander left or right by</a:t>
          </a:r>
          <a:r>
            <a:rPr lang="en-US" sz="1100" i="1" baseline="0">
              <a:solidFill>
                <a:srgbClr val="002060"/>
              </a:solidFill>
              <a:effectLst/>
              <a:latin typeface="+mn-lt"/>
              <a:ea typeface="+mn-ea"/>
              <a:cs typeface="+mn-cs"/>
            </a:rPr>
            <a:t> a randomly generated distance, defined by "Max wandering distance". This algorithm ensures an approximately even distribution of accent beads, while producing a randomized look.</a:t>
          </a:r>
          <a:endParaRPr lang="en-US">
            <a:solidFill>
              <a:srgbClr val="002060"/>
            </a:solidFill>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85725</xdr:colOff>
      <xdr:row>2</xdr:row>
      <xdr:rowOff>180975</xdr:rowOff>
    </xdr:from>
    <xdr:to>
      <xdr:col>5</xdr:col>
      <xdr:colOff>381000</xdr:colOff>
      <xdr:row>4</xdr:row>
      <xdr:rowOff>57150</xdr:rowOff>
    </xdr:to>
    <xdr:sp macro="[0]!nColours" textlink="">
      <xdr:nvSpPr>
        <xdr:cNvPr id="2" name="Rectangle 1">
          <a:extLst>
            <a:ext uri="{FF2B5EF4-FFF2-40B4-BE49-F238E27FC236}">
              <a16:creationId xmlns:a16="http://schemas.microsoft.com/office/drawing/2014/main" id="{BBA40986-270A-42AB-85A7-3B20E8F051A9}"/>
            </a:ext>
          </a:extLst>
        </xdr:cNvPr>
        <xdr:cNvSpPr/>
      </xdr:nvSpPr>
      <xdr:spPr>
        <a:xfrm>
          <a:off x="3829050" y="895350"/>
          <a:ext cx="904875" cy="2762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Randomize!!</a:t>
          </a:r>
        </a:p>
      </xdr:txBody>
    </xdr:sp>
    <xdr:clientData/>
  </xdr:twoCellAnchor>
  <xdr:twoCellAnchor editAs="oneCell">
    <xdr:from>
      <xdr:col>0</xdr:col>
      <xdr:colOff>276225</xdr:colOff>
      <xdr:row>1</xdr:row>
      <xdr:rowOff>95250</xdr:rowOff>
    </xdr:from>
    <xdr:to>
      <xdr:col>3</xdr:col>
      <xdr:colOff>561976</xdr:colOff>
      <xdr:row>1</xdr:row>
      <xdr:rowOff>485776</xdr:rowOff>
    </xdr:to>
    <xdr:pic>
      <xdr:nvPicPr>
        <xdr:cNvPr id="3" name="Picture 2">
          <a:extLst>
            <a:ext uri="{FF2B5EF4-FFF2-40B4-BE49-F238E27FC236}">
              <a16:creationId xmlns:a16="http://schemas.microsoft.com/office/drawing/2014/main" id="{EFB79DA2-C307-43D9-BDCD-EB98BFF530FA}"/>
            </a:ext>
          </a:extLst>
        </xdr:cNvPr>
        <xdr:cNvPicPr>
          <a:picLocks noChangeAspect="1"/>
        </xdr:cNvPicPr>
      </xdr:nvPicPr>
      <xdr:blipFill rotWithShape="1">
        <a:blip xmlns:r="http://schemas.openxmlformats.org/officeDocument/2006/relationships" r:embed="rId1"/>
        <a:srcRect l="3881" t="36826" r="69835" b="57603"/>
        <a:stretch/>
      </xdr:blipFill>
      <xdr:spPr>
        <a:xfrm>
          <a:off x="276225" y="285750"/>
          <a:ext cx="3419476" cy="390526"/>
        </a:xfrm>
        <a:prstGeom prst="rect">
          <a:avLst/>
        </a:prstGeom>
      </xdr:spPr>
    </xdr:pic>
    <xdr:clientData/>
  </xdr:twoCellAnchor>
  <xdr:twoCellAnchor>
    <xdr:from>
      <xdr:col>8</xdr:col>
      <xdr:colOff>523875</xdr:colOff>
      <xdr:row>1</xdr:row>
      <xdr:rowOff>276226</xdr:rowOff>
    </xdr:from>
    <xdr:to>
      <xdr:col>13</xdr:col>
      <xdr:colOff>581025</xdr:colOff>
      <xdr:row>9</xdr:row>
      <xdr:rowOff>66675</xdr:rowOff>
    </xdr:to>
    <xdr:sp macro="" textlink="">
      <xdr:nvSpPr>
        <xdr:cNvPr id="4" name="TextBox 3">
          <a:extLst>
            <a:ext uri="{FF2B5EF4-FFF2-40B4-BE49-F238E27FC236}">
              <a16:creationId xmlns:a16="http://schemas.microsoft.com/office/drawing/2014/main" id="{21B181D8-95F2-4DDA-9762-599F53B021EC}"/>
            </a:ext>
          </a:extLst>
        </xdr:cNvPr>
        <xdr:cNvSpPr txBox="1"/>
      </xdr:nvSpPr>
      <xdr:spPr>
        <a:xfrm>
          <a:off x="6705600" y="466726"/>
          <a:ext cx="3105150" cy="1704974"/>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1">
              <a:solidFill>
                <a:srgbClr val="002060"/>
              </a:solidFill>
            </a:rPr>
            <a:t>"n</a:t>
          </a:r>
          <a:r>
            <a:rPr lang="en-US" sz="1100" b="1" i="1" baseline="0">
              <a:solidFill>
                <a:srgbClr val="002060"/>
              </a:solidFill>
            </a:rPr>
            <a:t> Colours</a:t>
          </a:r>
          <a:r>
            <a:rPr lang="en-US" sz="1100" b="1" i="1">
              <a:solidFill>
                <a:srgbClr val="002060"/>
              </a:solidFill>
            </a:rPr>
            <a:t>"</a:t>
          </a:r>
        </a:p>
        <a:p>
          <a:r>
            <a:rPr lang="en-US" sz="1100" i="1">
              <a:solidFill>
                <a:srgbClr val="002060"/>
              </a:solidFill>
            </a:rPr>
            <a:t>This algorithm randomly places n types of beads along the length of the axis</a:t>
          </a:r>
          <a:r>
            <a:rPr lang="en-US" sz="1100" i="1" baseline="0">
              <a:solidFill>
                <a:srgbClr val="002060"/>
              </a:solidFill>
            </a:rPr>
            <a:t>, with a constraint on the maximum number of adjacent beads of the same type. The "Randomize" button performs one random test, and does not ensure an even distribution of the types of beads. The "Balance Types" button will try and balance the number of beads for an even distribution.</a:t>
          </a:r>
          <a:endParaRPr lang="en-US" sz="1100" i="1">
            <a:solidFill>
              <a:srgbClr val="002060"/>
            </a:solidFill>
          </a:endParaRPr>
        </a:p>
      </xdr:txBody>
    </xdr:sp>
    <xdr:clientData/>
  </xdr:twoCellAnchor>
  <xdr:twoCellAnchor>
    <xdr:from>
      <xdr:col>4</xdr:col>
      <xdr:colOff>95250</xdr:colOff>
      <xdr:row>4</xdr:row>
      <xdr:rowOff>133349</xdr:rowOff>
    </xdr:from>
    <xdr:to>
      <xdr:col>5</xdr:col>
      <xdr:colOff>390525</xdr:colOff>
      <xdr:row>7</xdr:row>
      <xdr:rowOff>19049</xdr:rowOff>
    </xdr:to>
    <xdr:sp macro="[0]!nColours_balanceTypes" textlink="">
      <xdr:nvSpPr>
        <xdr:cNvPr id="5" name="Rectangle 4">
          <a:extLst>
            <a:ext uri="{FF2B5EF4-FFF2-40B4-BE49-F238E27FC236}">
              <a16:creationId xmlns:a16="http://schemas.microsoft.com/office/drawing/2014/main" id="{54051886-7B08-4EC1-B799-59B39DF5E46C}"/>
            </a:ext>
          </a:extLst>
        </xdr:cNvPr>
        <xdr:cNvSpPr/>
      </xdr:nvSpPr>
      <xdr:spPr>
        <a:xfrm>
          <a:off x="3838575" y="1247774"/>
          <a:ext cx="1704975" cy="4857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Balance Types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5C67-DE1C-4442-9BB2-F9CE7688469B}">
  <sheetPr codeName="Sheet1">
    <pageSetUpPr fitToPage="1"/>
  </sheetPr>
  <dimension ref="B2:AM124"/>
  <sheetViews>
    <sheetView tabSelected="1"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25">
      <c r="B2" s="9"/>
      <c r="N2" s="12" t="s">
        <v>14</v>
      </c>
    </row>
    <row r="3" spans="2:39" ht="15.75" thickBot="1" x14ac:dyDescent="0.3">
      <c r="B3" s="11"/>
    </row>
    <row r="4" spans="2:39" ht="15.75" thickBot="1" x14ac:dyDescent="0.3">
      <c r="B4" s="1" t="s">
        <v>0</v>
      </c>
      <c r="C4" s="2">
        <v>8</v>
      </c>
      <c r="D4" s="1" t="s">
        <v>13</v>
      </c>
    </row>
    <row r="5" spans="2:39" ht="15.75" thickBot="1" x14ac:dyDescent="0.3">
      <c r="B5" s="1" t="s">
        <v>15</v>
      </c>
      <c r="C5" s="3">
        <v>7.5</v>
      </c>
      <c r="D5" s="1" t="s">
        <v>1</v>
      </c>
    </row>
    <row r="6" spans="2:39" ht="15.75" thickBot="1" x14ac:dyDescent="0.3">
      <c r="B6" s="1" t="s">
        <v>2</v>
      </c>
      <c r="C6" s="4">
        <v>1</v>
      </c>
      <c r="D6" s="1" t="s">
        <v>1</v>
      </c>
    </row>
    <row r="7" spans="2:39" ht="15.75" thickBot="1" x14ac:dyDescent="0.3">
      <c r="B7" s="1" t="s">
        <v>9</v>
      </c>
      <c r="C7" s="3">
        <v>0.1</v>
      </c>
      <c r="D7" s="1" t="s">
        <v>12</v>
      </c>
    </row>
    <row r="8" spans="2:39" ht="15.75" thickBot="1" x14ac:dyDescent="0.3">
      <c r="B8" s="1" t="s">
        <v>24</v>
      </c>
      <c r="C8" s="3">
        <v>1</v>
      </c>
      <c r="D8" s="1" t="s">
        <v>22</v>
      </c>
    </row>
    <row r="9" spans="2:39" x14ac:dyDescent="0.25">
      <c r="B9" s="1" t="s">
        <v>29</v>
      </c>
      <c r="C9" s="16">
        <f>ROUND(C5/C8,1)</f>
        <v>7.5</v>
      </c>
      <c r="D9" s="1" t="s">
        <v>1</v>
      </c>
    </row>
    <row r="10" spans="2:39" x14ac:dyDescent="0.25">
      <c r="C10" s="16"/>
    </row>
    <row r="11" spans="2:39" x14ac:dyDescent="0.25">
      <c r="B11" s="6" t="s">
        <v>35</v>
      </c>
    </row>
    <row r="12" spans="2:39" x14ac:dyDescent="0.25">
      <c r="B12" s="7" t="s">
        <v>26</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7" t="s">
        <v>27</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ht="45" x14ac:dyDescent="0.25">
      <c r="C15" s="14" t="s">
        <v>11</v>
      </c>
      <c r="D15" s="14" t="s">
        <v>10</v>
      </c>
      <c r="F15" s="15" t="s">
        <v>25</v>
      </c>
      <c r="G15" s="15"/>
      <c r="H15" s="15"/>
      <c r="I15" s="15"/>
    </row>
    <row r="16" spans="2:39" x14ac:dyDescent="0.25">
      <c r="C16" s="13" t="s">
        <v>3</v>
      </c>
      <c r="D16" s="13">
        <v>1.2</v>
      </c>
      <c r="F16" s="6" t="s">
        <v>28</v>
      </c>
    </row>
    <row r="17" spans="2:6" x14ac:dyDescent="0.25">
      <c r="C17" s="13" t="s">
        <v>4</v>
      </c>
      <c r="D17" s="13">
        <v>1.7</v>
      </c>
      <c r="F17" s="6"/>
    </row>
    <row r="18" spans="2:6" x14ac:dyDescent="0.25">
      <c r="C18" s="13" t="s">
        <v>5</v>
      </c>
      <c r="D18" s="13">
        <v>2.4</v>
      </c>
      <c r="F18" s="6"/>
    </row>
    <row r="19" spans="2:6" x14ac:dyDescent="0.25">
      <c r="C19" s="13" t="s">
        <v>6</v>
      </c>
      <c r="D19" s="13">
        <v>3.6</v>
      </c>
      <c r="F19" s="6"/>
    </row>
    <row r="20" spans="2:6" x14ac:dyDescent="0.25">
      <c r="C20" s="13" t="s">
        <v>7</v>
      </c>
      <c r="D20" s="13">
        <v>4.4000000000000004</v>
      </c>
      <c r="F20" s="6"/>
    </row>
    <row r="21" spans="2:6" x14ac:dyDescent="0.25">
      <c r="C21" s="13" t="s">
        <v>8</v>
      </c>
      <c r="D21" s="13">
        <v>5.4</v>
      </c>
      <c r="F21" s="6"/>
    </row>
    <row r="22" spans="2:6" x14ac:dyDescent="0.25">
      <c r="C22" s="13" t="s">
        <v>16</v>
      </c>
      <c r="D22" s="13">
        <v>5.8</v>
      </c>
      <c r="F22" s="6"/>
    </row>
    <row r="23" spans="2:6" x14ac:dyDescent="0.25">
      <c r="C23" s="13" t="s">
        <v>17</v>
      </c>
      <c r="D23" s="13">
        <v>6.1</v>
      </c>
      <c r="F23" s="6"/>
    </row>
    <row r="24" spans="2:6" x14ac:dyDescent="0.25">
      <c r="B24" s="5"/>
      <c r="C24" s="13"/>
      <c r="D24" s="13"/>
      <c r="F24" s="6"/>
    </row>
    <row r="25" spans="2:6" x14ac:dyDescent="0.25">
      <c r="B25" s="5"/>
      <c r="C25" s="13"/>
      <c r="D25" s="13"/>
      <c r="F25" s="6"/>
    </row>
    <row r="26" spans="2:6" x14ac:dyDescent="0.25">
      <c r="B26" s="5"/>
      <c r="C26" s="13"/>
      <c r="D26" s="13"/>
      <c r="F26" s="6"/>
    </row>
    <row r="27" spans="2:6" x14ac:dyDescent="0.25">
      <c r="B27" s="5"/>
      <c r="C27" s="13"/>
      <c r="D27" s="13"/>
      <c r="F27" s="6"/>
    </row>
    <row r="28" spans="2:6" x14ac:dyDescent="0.25">
      <c r="B28" s="5"/>
      <c r="C28" s="13"/>
      <c r="D28" s="13"/>
      <c r="F28" s="6"/>
    </row>
    <row r="29" spans="2:6" x14ac:dyDescent="0.25">
      <c r="B29" s="5"/>
      <c r="C29" s="13"/>
      <c r="D29" s="13"/>
      <c r="F29" s="6"/>
    </row>
    <row r="30" spans="2:6" x14ac:dyDescent="0.25">
      <c r="B30" s="5"/>
      <c r="C30" s="13"/>
      <c r="D30" s="13"/>
      <c r="F30" s="6"/>
    </row>
    <row r="31" spans="2:6" x14ac:dyDescent="0.25">
      <c r="B31" s="5"/>
      <c r="C31" s="13"/>
      <c r="D31" s="13"/>
    </row>
    <row r="32" spans="2:6" x14ac:dyDescent="0.25">
      <c r="B32" s="5"/>
      <c r="C32" s="13"/>
      <c r="D32" s="13"/>
    </row>
    <row r="33" spans="2:4" x14ac:dyDescent="0.25">
      <c r="B33" s="5"/>
      <c r="C33" s="13"/>
      <c r="D33" s="13"/>
    </row>
    <row r="34" spans="2:4" x14ac:dyDescent="0.25">
      <c r="B34" s="5"/>
      <c r="C34" s="13"/>
      <c r="D34" s="13"/>
    </row>
    <row r="35" spans="2:4" x14ac:dyDescent="0.25">
      <c r="B35" s="5"/>
      <c r="C35" s="13"/>
      <c r="D35" s="13"/>
    </row>
    <row r="36" spans="2:4" x14ac:dyDescent="0.25">
      <c r="B36" s="5"/>
      <c r="C36" s="13"/>
      <c r="D36" s="13"/>
    </row>
    <row r="37" spans="2:4" x14ac:dyDescent="0.25">
      <c r="B37" s="5"/>
      <c r="C37" s="13"/>
      <c r="D37" s="13"/>
    </row>
    <row r="38" spans="2:4" x14ac:dyDescent="0.25">
      <c r="B38" s="5"/>
      <c r="C38" s="13"/>
      <c r="D38" s="13"/>
    </row>
    <row r="39" spans="2:4" x14ac:dyDescent="0.25">
      <c r="B39" s="5"/>
      <c r="C39" s="13"/>
      <c r="D39" s="13"/>
    </row>
    <row r="40" spans="2:4" x14ac:dyDescent="0.25">
      <c r="B40" s="5"/>
      <c r="C40" s="13"/>
      <c r="D40" s="13"/>
    </row>
    <row r="41" spans="2:4" x14ac:dyDescent="0.25">
      <c r="B41" s="5"/>
      <c r="C41" s="13"/>
      <c r="D41" s="13"/>
    </row>
    <row r="42" spans="2:4" x14ac:dyDescent="0.25">
      <c r="B42" s="5"/>
      <c r="C42" s="13"/>
      <c r="D42" s="13"/>
    </row>
    <row r="43" spans="2:4" x14ac:dyDescent="0.25">
      <c r="B43" s="5"/>
      <c r="C43" s="13"/>
      <c r="D43" s="13"/>
    </row>
    <row r="44" spans="2:4" x14ac:dyDescent="0.25">
      <c r="B44" s="5"/>
      <c r="C44" s="13"/>
      <c r="D44" s="13"/>
    </row>
    <row r="45" spans="2:4" x14ac:dyDescent="0.25">
      <c r="B45" s="5"/>
      <c r="C45" s="13"/>
      <c r="D45" s="13"/>
    </row>
    <row r="46" spans="2:4" x14ac:dyDescent="0.25">
      <c r="B46" s="5"/>
      <c r="C46" s="13"/>
      <c r="D46" s="13"/>
    </row>
    <row r="47" spans="2:4" x14ac:dyDescent="0.25">
      <c r="B47" s="5"/>
      <c r="C47" s="13"/>
      <c r="D47" s="13"/>
    </row>
    <row r="48" spans="2:4" x14ac:dyDescent="0.25">
      <c r="B48" s="5"/>
      <c r="C48" s="13"/>
      <c r="D48" s="13"/>
    </row>
    <row r="49" spans="2:4" x14ac:dyDescent="0.25">
      <c r="B49" s="5"/>
      <c r="C49" s="13"/>
      <c r="D49" s="13"/>
    </row>
    <row r="50" spans="2:4" x14ac:dyDescent="0.25">
      <c r="B50" s="5"/>
      <c r="C50" s="13"/>
      <c r="D50" s="13"/>
    </row>
    <row r="51" spans="2:4" x14ac:dyDescent="0.25">
      <c r="B51" s="5"/>
      <c r="C51" s="13"/>
      <c r="D51" s="13"/>
    </row>
    <row r="52" spans="2:4" x14ac:dyDescent="0.25">
      <c r="B52" s="5"/>
      <c r="C52" s="13"/>
      <c r="D52" s="13"/>
    </row>
    <row r="53" spans="2:4" x14ac:dyDescent="0.25">
      <c r="B53" s="5"/>
      <c r="C53" s="13"/>
      <c r="D53" s="13"/>
    </row>
    <row r="54" spans="2:4" x14ac:dyDescent="0.25">
      <c r="B54" s="5"/>
      <c r="C54" s="13"/>
      <c r="D54" s="13"/>
    </row>
    <row r="55" spans="2:4" x14ac:dyDescent="0.25">
      <c r="B55" s="5"/>
      <c r="C55" s="13"/>
      <c r="D55" s="13"/>
    </row>
    <row r="56" spans="2:4" x14ac:dyDescent="0.25">
      <c r="B56" s="5"/>
      <c r="C56" s="13"/>
      <c r="D56" s="13"/>
    </row>
    <row r="57" spans="2:4" x14ac:dyDescent="0.25">
      <c r="B57" s="5"/>
      <c r="C57" s="13"/>
      <c r="D57" s="13"/>
    </row>
    <row r="58" spans="2:4" x14ac:dyDescent="0.25">
      <c r="B58" s="5"/>
      <c r="C58" s="13"/>
      <c r="D58" s="13"/>
    </row>
    <row r="59" spans="2:4" x14ac:dyDescent="0.25">
      <c r="B59" s="5"/>
      <c r="C59" s="13"/>
      <c r="D59" s="13"/>
    </row>
    <row r="60" spans="2:4" x14ac:dyDescent="0.25">
      <c r="B60" s="5"/>
      <c r="C60" s="13"/>
      <c r="D60" s="13"/>
    </row>
    <row r="61" spans="2:4" x14ac:dyDescent="0.25">
      <c r="B61" s="5"/>
      <c r="C61" s="13"/>
      <c r="D61" s="13"/>
    </row>
    <row r="62" spans="2:4" x14ac:dyDescent="0.25">
      <c r="B62" s="5"/>
      <c r="C62" s="13"/>
      <c r="D62" s="13"/>
    </row>
    <row r="63" spans="2:4" x14ac:dyDescent="0.25">
      <c r="B63" s="5"/>
      <c r="C63" s="13"/>
      <c r="D63" s="13"/>
    </row>
    <row r="64" spans="2:4" x14ac:dyDescent="0.25">
      <c r="B64" s="5"/>
      <c r="C64" s="13"/>
      <c r="D64" s="13"/>
    </row>
    <row r="65" spans="2:4" x14ac:dyDescent="0.25">
      <c r="B65" s="5"/>
      <c r="C65" s="13"/>
      <c r="D65" s="13"/>
    </row>
    <row r="66" spans="2:4" x14ac:dyDescent="0.25">
      <c r="B66" s="5"/>
      <c r="C66" s="13"/>
      <c r="D66" s="13"/>
    </row>
    <row r="67" spans="2:4" x14ac:dyDescent="0.25">
      <c r="B67" s="5"/>
      <c r="C67" s="13"/>
      <c r="D67" s="13"/>
    </row>
    <row r="68" spans="2:4" x14ac:dyDescent="0.25">
      <c r="B68" s="5"/>
      <c r="C68" s="13"/>
      <c r="D68" s="13"/>
    </row>
    <row r="69" spans="2:4" x14ac:dyDescent="0.25">
      <c r="B69" s="5"/>
      <c r="C69" s="13"/>
      <c r="D69" s="13"/>
    </row>
    <row r="70" spans="2:4" x14ac:dyDescent="0.25">
      <c r="B70" s="5"/>
      <c r="C70" s="13"/>
      <c r="D70" s="13"/>
    </row>
    <row r="71" spans="2:4" x14ac:dyDescent="0.25">
      <c r="B71" s="5"/>
      <c r="C71" s="13"/>
      <c r="D71" s="13"/>
    </row>
    <row r="72" spans="2:4" x14ac:dyDescent="0.25">
      <c r="B72" s="5"/>
      <c r="C72" s="13"/>
      <c r="D72" s="13"/>
    </row>
    <row r="73" spans="2:4" x14ac:dyDescent="0.25">
      <c r="B73" s="5"/>
      <c r="C73" s="13"/>
      <c r="D73" s="13"/>
    </row>
    <row r="74" spans="2:4" x14ac:dyDescent="0.25">
      <c r="B74" s="5"/>
      <c r="C74" s="13"/>
      <c r="D74" s="13"/>
    </row>
    <row r="75" spans="2:4" x14ac:dyDescent="0.25">
      <c r="B75" s="5"/>
      <c r="C75" s="13"/>
      <c r="D75" s="13"/>
    </row>
    <row r="76" spans="2:4" x14ac:dyDescent="0.25">
      <c r="B76" s="5"/>
      <c r="C76" s="13"/>
      <c r="D76" s="13"/>
    </row>
    <row r="77" spans="2:4" x14ac:dyDescent="0.25">
      <c r="B77" s="5"/>
      <c r="C77" s="13"/>
      <c r="D77" s="13"/>
    </row>
    <row r="78" spans="2:4" x14ac:dyDescent="0.25">
      <c r="B78" s="5"/>
      <c r="C78" s="13"/>
      <c r="D78" s="13"/>
    </row>
    <row r="79" spans="2:4" x14ac:dyDescent="0.25">
      <c r="B79" s="5"/>
      <c r="C79" s="13"/>
      <c r="D79" s="13"/>
    </row>
    <row r="80" spans="2:4" x14ac:dyDescent="0.25">
      <c r="B80" s="5"/>
      <c r="C80" s="13"/>
      <c r="D80" s="13"/>
    </row>
    <row r="81" spans="2:4" x14ac:dyDescent="0.25">
      <c r="B81" s="5"/>
      <c r="C81" s="13"/>
      <c r="D81" s="13"/>
    </row>
    <row r="82" spans="2:4" x14ac:dyDescent="0.25">
      <c r="B82" s="5"/>
      <c r="C82" s="13"/>
      <c r="D82" s="13"/>
    </row>
    <row r="83" spans="2:4" x14ac:dyDescent="0.25">
      <c r="B83" s="5"/>
      <c r="C83" s="13"/>
      <c r="D83" s="13"/>
    </row>
    <row r="84" spans="2:4" x14ac:dyDescent="0.25">
      <c r="B84" s="5"/>
    </row>
    <row r="85" spans="2:4" x14ac:dyDescent="0.25">
      <c r="B85" s="5"/>
    </row>
    <row r="86" spans="2:4" x14ac:dyDescent="0.25">
      <c r="B86" s="5"/>
    </row>
    <row r="87" spans="2:4" x14ac:dyDescent="0.25">
      <c r="B87" s="5"/>
    </row>
    <row r="88" spans="2:4" x14ac:dyDescent="0.25">
      <c r="B88" s="5"/>
    </row>
    <row r="89" spans="2:4" x14ac:dyDescent="0.25">
      <c r="B89" s="5"/>
    </row>
    <row r="90" spans="2:4" x14ac:dyDescent="0.25">
      <c r="B90" s="5"/>
    </row>
    <row r="91" spans="2:4" x14ac:dyDescent="0.25">
      <c r="B91" s="5"/>
    </row>
    <row r="92" spans="2:4" x14ac:dyDescent="0.25">
      <c r="B92" s="5"/>
    </row>
    <row r="93" spans="2:4" x14ac:dyDescent="0.25">
      <c r="B93" s="5"/>
    </row>
    <row r="94" spans="2:4" x14ac:dyDescent="0.25">
      <c r="B94" s="5"/>
    </row>
    <row r="95" spans="2:4" x14ac:dyDescent="0.25">
      <c r="B95" s="5"/>
    </row>
    <row r="96" spans="2:4"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sortState xmlns:xlrd2="http://schemas.microsoft.com/office/spreadsheetml/2017/richdata2" ref="D16:D23">
    <sortCondition ref="D16:D23"/>
  </sortState>
  <phoneticPr fontId="2" type="noConversion"/>
  <pageMargins left="0.7" right="0.7" top="0.75" bottom="0.75" header="0.3" footer="0.3"/>
  <pageSetup scale="53"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EEE5B-5687-4EE2-AFAD-5F7959EA5B00}">
  <sheetPr codeName="Sheet2">
    <pageSetUpPr fitToPage="1"/>
  </sheetPr>
  <dimension ref="B2:AM124"/>
  <sheetViews>
    <sheetView zoomScaleNormal="100" workbookViewId="0">
      <selection activeCell="C4" sqref="C4"/>
    </sheetView>
  </sheetViews>
  <sheetFormatPr defaultRowHeight="15" x14ac:dyDescent="0.25"/>
  <cols>
    <col min="1" max="1" width="4.5703125" style="1" customWidth="1"/>
    <col min="2" max="2" width="33.28515625" style="1" customWidth="1"/>
    <col min="3" max="16384" width="9.140625" style="1"/>
  </cols>
  <sheetData>
    <row r="2" spans="2:39" ht="41.25" customHeight="1" x14ac:dyDescent="0.3">
      <c r="B2" s="9"/>
      <c r="J2" s="10"/>
      <c r="N2" s="12" t="s">
        <v>14</v>
      </c>
    </row>
    <row r="3" spans="2:39" ht="15.75" thickBot="1" x14ac:dyDescent="0.3"/>
    <row r="4" spans="2:39" ht="15.75" thickBot="1" x14ac:dyDescent="0.3">
      <c r="B4" s="1" t="s">
        <v>0</v>
      </c>
      <c r="C4" s="2">
        <v>10</v>
      </c>
      <c r="D4" s="1" t="s">
        <v>13</v>
      </c>
    </row>
    <row r="5" spans="2:39" ht="15.75" thickBot="1" x14ac:dyDescent="0.3">
      <c r="B5" s="1" t="s">
        <v>15</v>
      </c>
      <c r="C5" s="3">
        <v>27</v>
      </c>
      <c r="D5" s="1" t="s">
        <v>1</v>
      </c>
    </row>
    <row r="6" spans="2:39" ht="15.75" thickBot="1" x14ac:dyDescent="0.3">
      <c r="B6" s="1" t="s">
        <v>2</v>
      </c>
      <c r="C6" s="4">
        <v>1</v>
      </c>
      <c r="D6" s="1" t="s">
        <v>1</v>
      </c>
    </row>
    <row r="7" spans="2:39" ht="15.75" thickBot="1" x14ac:dyDescent="0.3">
      <c r="B7" s="1" t="s">
        <v>23</v>
      </c>
      <c r="C7" s="3">
        <v>3</v>
      </c>
      <c r="D7" s="1" t="str">
        <f>"inches (&lt;="&amp;ROUND((C5-2*C6)/(C4+1)/2,1)&amp;""")"</f>
        <v>inches (&lt;=1.1")</v>
      </c>
    </row>
    <row r="8" spans="2:39" ht="15.75" thickBot="1" x14ac:dyDescent="0.3">
      <c r="B8" s="1" t="s">
        <v>24</v>
      </c>
      <c r="C8" s="3">
        <v>4</v>
      </c>
      <c r="D8" s="1" t="s">
        <v>22</v>
      </c>
    </row>
    <row r="9" spans="2:39" x14ac:dyDescent="0.25">
      <c r="B9" s="1" t="s">
        <v>29</v>
      </c>
      <c r="C9" s="16">
        <f>ROUND(C5/C8,1)</f>
        <v>6.8</v>
      </c>
      <c r="D9" s="1" t="s">
        <v>1</v>
      </c>
    </row>
    <row r="10" spans="2:39" x14ac:dyDescent="0.25">
      <c r="C10" s="16"/>
    </row>
    <row r="11" spans="2:39" x14ac:dyDescent="0.25">
      <c r="B11" s="6" t="s">
        <v>36</v>
      </c>
    </row>
    <row r="12" spans="2:39" x14ac:dyDescent="0.25">
      <c r="B12" s="7" t="s">
        <v>20</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7" t="s">
        <v>21</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ht="45" x14ac:dyDescent="0.25">
      <c r="C15" s="14" t="s">
        <v>11</v>
      </c>
      <c r="D15" s="14" t="s">
        <v>10</v>
      </c>
      <c r="F15" s="15" t="s">
        <v>25</v>
      </c>
    </row>
    <row r="16" spans="2:39" x14ac:dyDescent="0.25">
      <c r="C16" s="13" t="s">
        <v>3</v>
      </c>
      <c r="D16" s="13">
        <v>1.7</v>
      </c>
      <c r="F16" s="6" t="s">
        <v>37</v>
      </c>
    </row>
    <row r="17" spans="2:6" x14ac:dyDescent="0.25">
      <c r="C17" s="13" t="s">
        <v>4</v>
      </c>
      <c r="D17" s="13">
        <v>7.7</v>
      </c>
      <c r="F17" s="6" t="s">
        <v>38</v>
      </c>
    </row>
    <row r="18" spans="2:6" x14ac:dyDescent="0.25">
      <c r="C18" s="13" t="s">
        <v>5</v>
      </c>
      <c r="D18" s="13">
        <v>7.9</v>
      </c>
      <c r="F18" s="6" t="s">
        <v>39</v>
      </c>
    </row>
    <row r="19" spans="2:6" x14ac:dyDescent="0.25">
      <c r="C19" s="13" t="s">
        <v>6</v>
      </c>
      <c r="D19" s="13">
        <v>11.3</v>
      </c>
      <c r="F19" s="6" t="s">
        <v>40</v>
      </c>
    </row>
    <row r="20" spans="2:6" x14ac:dyDescent="0.25">
      <c r="C20" s="13" t="s">
        <v>7</v>
      </c>
      <c r="D20" s="13">
        <v>12.6</v>
      </c>
    </row>
    <row r="21" spans="2:6" x14ac:dyDescent="0.25">
      <c r="C21" s="13" t="s">
        <v>8</v>
      </c>
      <c r="D21" s="13">
        <v>14.1</v>
      </c>
    </row>
    <row r="22" spans="2:6" x14ac:dyDescent="0.25">
      <c r="C22" s="13" t="s">
        <v>16</v>
      </c>
      <c r="D22" s="13">
        <v>15.9</v>
      </c>
    </row>
    <row r="23" spans="2:6" x14ac:dyDescent="0.25">
      <c r="C23" s="13" t="s">
        <v>17</v>
      </c>
      <c r="D23" s="13">
        <v>19.600000000000001</v>
      </c>
    </row>
    <row r="24" spans="2:6" x14ac:dyDescent="0.25">
      <c r="B24" s="5"/>
      <c r="C24" s="13" t="s">
        <v>18</v>
      </c>
      <c r="D24" s="13">
        <v>20.8</v>
      </c>
    </row>
    <row r="25" spans="2:6" x14ac:dyDescent="0.25">
      <c r="B25" s="5"/>
      <c r="C25" s="13" t="s">
        <v>19</v>
      </c>
      <c r="D25" s="13">
        <v>21.9</v>
      </c>
    </row>
    <row r="26" spans="2:6" x14ac:dyDescent="0.25">
      <c r="B26" s="5"/>
      <c r="C26" s="13"/>
      <c r="D26" s="13"/>
    </row>
    <row r="27" spans="2:6" x14ac:dyDescent="0.25">
      <c r="B27" s="5"/>
      <c r="C27" s="13"/>
      <c r="D27" s="13"/>
    </row>
    <row r="28" spans="2:6" x14ac:dyDescent="0.25">
      <c r="B28" s="5"/>
      <c r="C28" s="13"/>
      <c r="D28" s="13"/>
    </row>
    <row r="29" spans="2:6" x14ac:dyDescent="0.25">
      <c r="B29" s="5"/>
      <c r="C29" s="13"/>
      <c r="D29" s="13"/>
    </row>
    <row r="30" spans="2:6" x14ac:dyDescent="0.25">
      <c r="B30" s="5"/>
      <c r="C30" s="13"/>
      <c r="D30" s="13"/>
    </row>
    <row r="31" spans="2:6" x14ac:dyDescent="0.25">
      <c r="B31" s="5"/>
      <c r="C31" s="13"/>
      <c r="D31" s="13"/>
    </row>
    <row r="32" spans="2:6" x14ac:dyDescent="0.25">
      <c r="B32" s="5"/>
      <c r="C32" s="13"/>
      <c r="D32" s="13"/>
    </row>
    <row r="33" spans="2:4" x14ac:dyDescent="0.25">
      <c r="B33" s="5"/>
      <c r="C33" s="13"/>
      <c r="D33" s="13"/>
    </row>
    <row r="34" spans="2:4" x14ac:dyDescent="0.25">
      <c r="B34" s="5"/>
      <c r="C34" s="13"/>
      <c r="D34" s="13"/>
    </row>
    <row r="35" spans="2:4" x14ac:dyDescent="0.25">
      <c r="B35" s="5"/>
      <c r="C35" s="13"/>
      <c r="D35" s="13"/>
    </row>
    <row r="36" spans="2:4" x14ac:dyDescent="0.25">
      <c r="B36" s="5"/>
      <c r="C36" s="13"/>
      <c r="D36" s="13"/>
    </row>
    <row r="37" spans="2:4" x14ac:dyDescent="0.25">
      <c r="B37" s="5"/>
      <c r="C37" s="13"/>
      <c r="D37" s="13"/>
    </row>
    <row r="38" spans="2:4" x14ac:dyDescent="0.25">
      <c r="B38" s="5"/>
      <c r="C38" s="13"/>
      <c r="D38" s="13"/>
    </row>
    <row r="39" spans="2:4" x14ac:dyDescent="0.25">
      <c r="B39" s="5"/>
      <c r="C39" s="13"/>
      <c r="D39" s="13"/>
    </row>
    <row r="40" spans="2:4" x14ac:dyDescent="0.25">
      <c r="B40" s="5"/>
      <c r="C40" s="13"/>
      <c r="D40" s="13"/>
    </row>
    <row r="41" spans="2:4" x14ac:dyDescent="0.25">
      <c r="B41" s="5"/>
      <c r="C41" s="13"/>
      <c r="D41" s="13"/>
    </row>
    <row r="42" spans="2:4" x14ac:dyDescent="0.25">
      <c r="B42" s="5"/>
      <c r="C42" s="13"/>
      <c r="D42" s="13"/>
    </row>
    <row r="43" spans="2:4" x14ac:dyDescent="0.25">
      <c r="B43" s="5"/>
      <c r="C43" s="13"/>
      <c r="D43" s="13"/>
    </row>
    <row r="44" spans="2:4" x14ac:dyDescent="0.25">
      <c r="B44" s="5"/>
      <c r="C44" s="13"/>
      <c r="D44" s="13"/>
    </row>
    <row r="45" spans="2:4" x14ac:dyDescent="0.25">
      <c r="B45" s="5"/>
      <c r="C45" s="13"/>
      <c r="D45" s="13"/>
    </row>
    <row r="46" spans="2:4" x14ac:dyDescent="0.25">
      <c r="B46" s="5"/>
      <c r="C46" s="13"/>
      <c r="D46" s="13"/>
    </row>
    <row r="47" spans="2:4" x14ac:dyDescent="0.25">
      <c r="B47" s="5"/>
      <c r="C47" s="13"/>
      <c r="D47" s="13"/>
    </row>
    <row r="48" spans="2:4" x14ac:dyDescent="0.25">
      <c r="B48" s="5"/>
      <c r="C48" s="13"/>
      <c r="D48" s="13"/>
    </row>
    <row r="49" spans="2:4" x14ac:dyDescent="0.25">
      <c r="B49" s="5"/>
      <c r="C49" s="13"/>
      <c r="D49" s="13"/>
    </row>
    <row r="50" spans="2:4" x14ac:dyDescent="0.25">
      <c r="B50" s="5"/>
      <c r="C50" s="13"/>
      <c r="D50" s="13"/>
    </row>
    <row r="51" spans="2:4" x14ac:dyDescent="0.25">
      <c r="B51" s="5"/>
      <c r="C51" s="13"/>
      <c r="D51" s="13"/>
    </row>
    <row r="52" spans="2:4" x14ac:dyDescent="0.25">
      <c r="B52" s="5"/>
      <c r="C52" s="13"/>
      <c r="D52" s="13"/>
    </row>
    <row r="53" spans="2:4" x14ac:dyDescent="0.25">
      <c r="B53" s="5"/>
      <c r="C53" s="13"/>
      <c r="D53" s="13"/>
    </row>
    <row r="54" spans="2:4" x14ac:dyDescent="0.25">
      <c r="B54" s="5"/>
      <c r="C54" s="13"/>
      <c r="D54" s="13"/>
    </row>
    <row r="55" spans="2:4" x14ac:dyDescent="0.25">
      <c r="B55" s="5"/>
      <c r="C55" s="13"/>
      <c r="D55" s="13"/>
    </row>
    <row r="56" spans="2:4" x14ac:dyDescent="0.25">
      <c r="B56" s="5"/>
      <c r="C56" s="13"/>
      <c r="D56" s="13"/>
    </row>
    <row r="57" spans="2:4" x14ac:dyDescent="0.25">
      <c r="B57" s="5"/>
      <c r="C57" s="13"/>
      <c r="D57" s="13"/>
    </row>
    <row r="58" spans="2:4" x14ac:dyDescent="0.25">
      <c r="B58" s="5"/>
      <c r="C58" s="13"/>
      <c r="D58" s="13"/>
    </row>
    <row r="59" spans="2:4" x14ac:dyDescent="0.25">
      <c r="B59" s="5"/>
      <c r="C59" s="13"/>
      <c r="D59" s="13"/>
    </row>
    <row r="60" spans="2:4" x14ac:dyDescent="0.25">
      <c r="B60" s="5"/>
      <c r="C60" s="13"/>
      <c r="D60" s="13"/>
    </row>
    <row r="61" spans="2:4" x14ac:dyDescent="0.25">
      <c r="B61" s="5"/>
      <c r="C61" s="13"/>
      <c r="D61" s="13"/>
    </row>
    <row r="62" spans="2:4" x14ac:dyDescent="0.25">
      <c r="B62" s="5"/>
      <c r="C62" s="13"/>
      <c r="D62" s="13"/>
    </row>
    <row r="63" spans="2:4" x14ac:dyDescent="0.25">
      <c r="B63" s="5"/>
      <c r="C63" s="13"/>
      <c r="D63" s="13"/>
    </row>
    <row r="64" spans="2:4" x14ac:dyDescent="0.25">
      <c r="B64" s="5"/>
      <c r="C64" s="13"/>
      <c r="D64" s="13"/>
    </row>
    <row r="65" spans="2:4" x14ac:dyDescent="0.25">
      <c r="B65" s="5"/>
      <c r="C65" s="13"/>
      <c r="D65" s="13"/>
    </row>
    <row r="66" spans="2:4" x14ac:dyDescent="0.25">
      <c r="B66" s="5"/>
      <c r="C66" s="13"/>
      <c r="D66" s="13"/>
    </row>
    <row r="67" spans="2:4" x14ac:dyDescent="0.25">
      <c r="B67" s="5"/>
      <c r="C67" s="13"/>
      <c r="D67" s="13"/>
    </row>
    <row r="68" spans="2:4" x14ac:dyDescent="0.25">
      <c r="B68" s="5"/>
      <c r="C68" s="13"/>
      <c r="D68" s="13"/>
    </row>
    <row r="69" spans="2:4" x14ac:dyDescent="0.25">
      <c r="B69" s="5"/>
      <c r="C69" s="13"/>
      <c r="D69" s="13"/>
    </row>
    <row r="70" spans="2:4" x14ac:dyDescent="0.25">
      <c r="B70" s="5"/>
      <c r="C70" s="13"/>
      <c r="D70" s="13"/>
    </row>
    <row r="71" spans="2:4" x14ac:dyDescent="0.25">
      <c r="B71" s="5"/>
      <c r="C71" s="13"/>
      <c r="D71" s="13"/>
    </row>
    <row r="72" spans="2:4" x14ac:dyDescent="0.25">
      <c r="B72" s="5"/>
      <c r="C72" s="13"/>
      <c r="D72" s="13"/>
    </row>
    <row r="73" spans="2:4" x14ac:dyDescent="0.25">
      <c r="B73" s="5"/>
      <c r="C73" s="13"/>
      <c r="D73" s="13"/>
    </row>
    <row r="74" spans="2:4" x14ac:dyDescent="0.25">
      <c r="B74" s="5"/>
      <c r="C74" s="13"/>
      <c r="D74" s="13"/>
    </row>
    <row r="75" spans="2:4" x14ac:dyDescent="0.25">
      <c r="B75" s="5"/>
      <c r="C75" s="13"/>
      <c r="D75" s="13"/>
    </row>
    <row r="76" spans="2:4" x14ac:dyDescent="0.25">
      <c r="B76" s="5"/>
      <c r="C76" s="13"/>
      <c r="D76" s="13"/>
    </row>
    <row r="77" spans="2:4" x14ac:dyDescent="0.25">
      <c r="B77" s="5"/>
      <c r="C77" s="13"/>
      <c r="D77" s="13"/>
    </row>
    <row r="78" spans="2:4" x14ac:dyDescent="0.25">
      <c r="B78" s="5"/>
      <c r="C78" s="13"/>
      <c r="D78" s="13"/>
    </row>
    <row r="79" spans="2:4" x14ac:dyDescent="0.25">
      <c r="B79" s="5"/>
      <c r="C79" s="13"/>
      <c r="D79" s="13"/>
    </row>
    <row r="80" spans="2:4" x14ac:dyDescent="0.25">
      <c r="B80" s="5"/>
      <c r="C80" s="13"/>
      <c r="D80" s="13"/>
    </row>
    <row r="81" spans="2:4" x14ac:dyDescent="0.25">
      <c r="B81" s="5"/>
      <c r="C81" s="13"/>
      <c r="D81" s="13"/>
    </row>
    <row r="82" spans="2:4" x14ac:dyDescent="0.25">
      <c r="B82" s="5"/>
      <c r="C82" s="13"/>
      <c r="D82" s="13"/>
    </row>
    <row r="83" spans="2:4" x14ac:dyDescent="0.25">
      <c r="B83" s="5"/>
      <c r="C83" s="13"/>
      <c r="D83" s="13"/>
    </row>
    <row r="84" spans="2:4" x14ac:dyDescent="0.25">
      <c r="B84" s="5"/>
    </row>
    <row r="85" spans="2:4" x14ac:dyDescent="0.25">
      <c r="B85" s="5"/>
    </row>
    <row r="86" spans="2:4" x14ac:dyDescent="0.25">
      <c r="B86" s="5"/>
    </row>
    <row r="87" spans="2:4" x14ac:dyDescent="0.25">
      <c r="B87" s="5"/>
    </row>
    <row r="88" spans="2:4" x14ac:dyDescent="0.25">
      <c r="B88" s="5"/>
    </row>
    <row r="89" spans="2:4" x14ac:dyDescent="0.25">
      <c r="B89" s="5"/>
    </row>
    <row r="90" spans="2:4" x14ac:dyDescent="0.25">
      <c r="B90" s="5"/>
    </row>
    <row r="91" spans="2:4" x14ac:dyDescent="0.25">
      <c r="B91" s="5"/>
    </row>
    <row r="92" spans="2:4" x14ac:dyDescent="0.25">
      <c r="B92" s="5"/>
    </row>
    <row r="93" spans="2:4" x14ac:dyDescent="0.25">
      <c r="B93" s="5"/>
    </row>
    <row r="94" spans="2:4" x14ac:dyDescent="0.25">
      <c r="B94" s="5"/>
    </row>
    <row r="95" spans="2:4" x14ac:dyDescent="0.25">
      <c r="B95" s="5"/>
    </row>
    <row r="96" spans="2:4"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sortState xmlns:xlrd2="http://schemas.microsoft.com/office/spreadsheetml/2017/richdata2" ref="D16:D25">
    <sortCondition ref="D16:D25"/>
  </sortState>
  <pageMargins left="0.7" right="0.7" top="0.75" bottom="0.75" header="0.3" footer="0.3"/>
  <pageSetup scale="5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EF7DE-AE01-4ED6-BE26-8B51FAB0ECD1}">
  <sheetPr codeName="Sheet3">
    <pageSetUpPr fitToPage="1"/>
  </sheetPr>
  <dimension ref="B2:AM124"/>
  <sheetViews>
    <sheetView workbookViewId="0">
      <selection activeCell="C4" sqref="C4"/>
    </sheetView>
  </sheetViews>
  <sheetFormatPr defaultRowHeight="15" x14ac:dyDescent="0.25"/>
  <cols>
    <col min="1" max="1" width="4.5703125" style="1" customWidth="1"/>
    <col min="2" max="2" width="33.28515625" style="1" customWidth="1"/>
    <col min="3" max="4" width="9.140625" style="1"/>
    <col min="5" max="6" width="9.140625" style="1" customWidth="1"/>
    <col min="7" max="16384" width="9.140625" style="1"/>
  </cols>
  <sheetData>
    <row r="2" spans="2:39" ht="41.25" customHeight="1" x14ac:dyDescent="0.25">
      <c r="B2" s="9"/>
      <c r="N2" s="12" t="s">
        <v>14</v>
      </c>
    </row>
    <row r="3" spans="2:39" ht="15.75" thickBot="1" x14ac:dyDescent="0.3">
      <c r="B3" s="11"/>
    </row>
    <row r="4" spans="2:39" ht="15.75" thickBot="1" x14ac:dyDescent="0.3">
      <c r="B4" s="1" t="s">
        <v>43</v>
      </c>
      <c r="C4" s="2">
        <v>8</v>
      </c>
      <c r="D4" s="1" t="s">
        <v>30</v>
      </c>
    </row>
    <row r="5" spans="2:39" ht="15.75" thickBot="1" x14ac:dyDescent="0.3">
      <c r="B5" s="1" t="s">
        <v>15</v>
      </c>
      <c r="C5" s="3">
        <v>7.5</v>
      </c>
      <c r="D5" s="1" t="s">
        <v>1</v>
      </c>
    </row>
    <row r="6" spans="2:39" ht="15.75" thickBot="1" x14ac:dyDescent="0.3">
      <c r="B6" s="1" t="s">
        <v>31</v>
      </c>
      <c r="C6" s="16">
        <f>CEILING(C5/(C4*0.0393701),1)</f>
        <v>24</v>
      </c>
      <c r="D6" s="1" t="s">
        <v>13</v>
      </c>
    </row>
    <row r="7" spans="2:39" ht="15.75" thickBot="1" x14ac:dyDescent="0.3">
      <c r="B7" s="1" t="s">
        <v>42</v>
      </c>
      <c r="C7" s="3">
        <v>3</v>
      </c>
      <c r="D7" s="1" t="s">
        <v>13</v>
      </c>
    </row>
    <row r="8" spans="2:39" ht="15.75" thickBot="1" x14ac:dyDescent="0.3">
      <c r="B8" s="1" t="s">
        <v>41</v>
      </c>
      <c r="C8" s="3">
        <v>2</v>
      </c>
      <c r="D8" s="1" t="s">
        <v>13</v>
      </c>
    </row>
    <row r="9" spans="2:39" x14ac:dyDescent="0.25">
      <c r="C9" s="16"/>
    </row>
    <row r="10" spans="2:39" x14ac:dyDescent="0.25">
      <c r="C10" s="16"/>
    </row>
    <row r="11" spans="2:39" ht="36" x14ac:dyDescent="0.55000000000000004">
      <c r="B11" s="23" t="s">
        <v>44</v>
      </c>
    </row>
    <row r="12" spans="2:39" x14ac:dyDescent="0.25">
      <c r="B12" s="22" t="s">
        <v>26</v>
      </c>
      <c r="C12" s="8"/>
      <c r="D12" s="8"/>
      <c r="E12" s="8"/>
      <c r="F12" s="8"/>
      <c r="G12" s="8"/>
      <c r="H12" s="8"/>
      <c r="I12" s="8"/>
      <c r="J12" s="8"/>
      <c r="K12" s="8"/>
      <c r="L12" s="8"/>
      <c r="M12" s="8"/>
      <c r="N12" s="8"/>
      <c r="O12" s="8"/>
      <c r="P12" s="8"/>
      <c r="Q12" s="8"/>
      <c r="R12" s="8"/>
      <c r="S12" s="8"/>
      <c r="T12" s="8"/>
      <c r="U12" s="8"/>
      <c r="V12" s="8"/>
      <c r="W12" s="8"/>
      <c r="X12" s="8"/>
      <c r="Y12" s="8"/>
      <c r="Z12" s="8"/>
      <c r="AA12" s="8"/>
      <c r="AB12" s="8"/>
      <c r="AC12" s="8"/>
      <c r="AD12" s="8"/>
      <c r="AE12" s="8"/>
      <c r="AF12" s="8"/>
      <c r="AG12" s="8"/>
      <c r="AH12" s="8"/>
      <c r="AI12" s="8"/>
      <c r="AJ12" s="8"/>
      <c r="AK12" s="8"/>
      <c r="AL12" s="8"/>
      <c r="AM12" s="8"/>
    </row>
    <row r="13" spans="2:39" x14ac:dyDescent="0.25">
      <c r="B13" s="22" t="s">
        <v>27</v>
      </c>
      <c r="C13" s="8"/>
      <c r="D13" s="8"/>
      <c r="E13" s="8"/>
      <c r="F13" s="8"/>
      <c r="G13" s="8"/>
      <c r="H13" s="8"/>
      <c r="I13" s="8"/>
      <c r="J13" s="8"/>
      <c r="K13" s="8"/>
      <c r="L13" s="8"/>
      <c r="M13" s="8"/>
      <c r="N13" s="8"/>
      <c r="O13" s="8"/>
      <c r="P13" s="8"/>
      <c r="Q13" s="8"/>
      <c r="R13" s="8"/>
      <c r="S13" s="8"/>
      <c r="T13" s="8"/>
      <c r="U13" s="8"/>
      <c r="V13" s="8"/>
      <c r="W13" s="8"/>
      <c r="X13" s="8"/>
      <c r="Y13" s="8"/>
      <c r="Z13" s="8"/>
      <c r="AA13" s="8"/>
      <c r="AB13" s="8"/>
      <c r="AC13" s="8"/>
      <c r="AD13" s="8"/>
      <c r="AE13" s="8"/>
      <c r="AF13" s="8"/>
      <c r="AG13" s="8"/>
      <c r="AH13" s="8"/>
      <c r="AI13" s="8"/>
      <c r="AJ13" s="8"/>
      <c r="AK13" s="8"/>
      <c r="AL13" s="8"/>
      <c r="AM13" s="8"/>
    </row>
    <row r="14" spans="2:39" ht="29.25" customHeight="1" x14ac:dyDescent="0.25"/>
    <row r="15" spans="2:39" x14ac:dyDescent="0.25">
      <c r="C15" s="18" t="s">
        <v>32</v>
      </c>
      <c r="D15" s="18" t="s">
        <v>33</v>
      </c>
      <c r="G15" s="15"/>
      <c r="H15" s="15"/>
      <c r="I15" s="15"/>
    </row>
    <row r="16" spans="2:39" x14ac:dyDescent="0.25">
      <c r="B16" s="17" t="s">
        <v>34</v>
      </c>
      <c r="C16" s="19">
        <f>LEN(B11)</f>
        <v>24</v>
      </c>
      <c r="D16" s="21">
        <f>SUM(D17:D23)</f>
        <v>1</v>
      </c>
    </row>
    <row r="17" spans="2:6" x14ac:dyDescent="0.25">
      <c r="B17" s="17" t="str">
        <f>IF(ROW()-16&lt;=$C$7,"A","")</f>
        <v>A</v>
      </c>
      <c r="C17" s="19">
        <f>IF(ROW()-16&lt;=$C$7,LEN($B$11)-LEN(SUBSTITUTE($B$11,B17,"")),"")</f>
        <v>8</v>
      </c>
      <c r="D17" s="20">
        <f>IF(ROW()-16&lt;=$C$7,C17/$C$16,"")</f>
        <v>0.33333333333333331</v>
      </c>
      <c r="E17" s="6"/>
      <c r="F17" s="6"/>
    </row>
    <row r="18" spans="2:6" x14ac:dyDescent="0.25">
      <c r="B18" s="17" t="str">
        <f>IF(ROW()-16&lt;=$C$7,"B","")</f>
        <v>B</v>
      </c>
      <c r="C18" s="19">
        <f t="shared" ref="C18:C42" si="0">IF(ROW()-16&lt;=$C$7,LEN($B$11)-LEN(SUBSTITUTE($B$11,B18,"")),"")</f>
        <v>8</v>
      </c>
      <c r="D18" s="20">
        <f t="shared" ref="D18:D42" si="1">IF(ROW()-16&lt;=$C$7,C18/$C$16,"")</f>
        <v>0.33333333333333331</v>
      </c>
      <c r="E18" s="6"/>
      <c r="F18" s="6"/>
    </row>
    <row r="19" spans="2:6" x14ac:dyDescent="0.25">
      <c r="B19" s="17" t="str">
        <f>IF(ROW()-16&lt;=$C$7,"C","")</f>
        <v>C</v>
      </c>
      <c r="C19" s="19">
        <f t="shared" si="0"/>
        <v>8</v>
      </c>
      <c r="D19" s="20">
        <f t="shared" si="1"/>
        <v>0.33333333333333331</v>
      </c>
      <c r="E19" s="6"/>
      <c r="F19" s="6"/>
    </row>
    <row r="20" spans="2:6" x14ac:dyDescent="0.25">
      <c r="B20" s="17" t="str">
        <f>IF(ROW()-16&lt;=$C$7,"D","")</f>
        <v/>
      </c>
      <c r="C20" s="19" t="str">
        <f t="shared" si="0"/>
        <v/>
      </c>
      <c r="D20" s="20" t="str">
        <f t="shared" si="1"/>
        <v/>
      </c>
      <c r="F20" s="6"/>
    </row>
    <row r="21" spans="2:6" x14ac:dyDescent="0.25">
      <c r="B21" s="17" t="str">
        <f>IF(ROW()-16&lt;=$C$7,"E","")</f>
        <v/>
      </c>
      <c r="C21" s="19" t="str">
        <f t="shared" si="0"/>
        <v/>
      </c>
      <c r="D21" s="20" t="str">
        <f t="shared" si="1"/>
        <v/>
      </c>
      <c r="F21" s="6"/>
    </row>
    <row r="22" spans="2:6" x14ac:dyDescent="0.25">
      <c r="B22" s="17" t="str">
        <f>IF(ROW()-16&lt;=$C$7,"F","")</f>
        <v/>
      </c>
      <c r="C22" s="19" t="str">
        <f t="shared" si="0"/>
        <v/>
      </c>
      <c r="D22" s="20" t="str">
        <f t="shared" si="1"/>
        <v/>
      </c>
      <c r="F22" s="6"/>
    </row>
    <row r="23" spans="2:6" x14ac:dyDescent="0.25">
      <c r="B23" s="17" t="str">
        <f>IF(ROW()-16&lt;=$C$7,"G","")</f>
        <v/>
      </c>
      <c r="C23" s="19" t="str">
        <f t="shared" si="0"/>
        <v/>
      </c>
      <c r="D23" s="20" t="str">
        <f t="shared" si="1"/>
        <v/>
      </c>
      <c r="F23" s="6"/>
    </row>
    <row r="24" spans="2:6" x14ac:dyDescent="0.25">
      <c r="B24" s="17" t="str">
        <f>IF(ROW()-16&lt;=$C$7,"H","")</f>
        <v/>
      </c>
      <c r="C24" s="19" t="str">
        <f t="shared" si="0"/>
        <v/>
      </c>
      <c r="D24" s="20" t="str">
        <f t="shared" si="1"/>
        <v/>
      </c>
      <c r="F24" s="6"/>
    </row>
    <row r="25" spans="2:6" x14ac:dyDescent="0.25">
      <c r="B25" s="17" t="str">
        <f>IF(ROW()-16&lt;=$C$7,"I","")</f>
        <v/>
      </c>
      <c r="C25" s="19" t="str">
        <f t="shared" si="0"/>
        <v/>
      </c>
      <c r="D25" s="20" t="str">
        <f t="shared" si="1"/>
        <v/>
      </c>
      <c r="F25" s="6"/>
    </row>
    <row r="26" spans="2:6" x14ac:dyDescent="0.25">
      <c r="B26" s="17" t="str">
        <f>IF(ROW()-16&lt;=$C$7,"J","")</f>
        <v/>
      </c>
      <c r="C26" s="19" t="str">
        <f t="shared" si="0"/>
        <v/>
      </c>
      <c r="D26" s="20" t="str">
        <f t="shared" si="1"/>
        <v/>
      </c>
      <c r="F26" s="6"/>
    </row>
    <row r="27" spans="2:6" x14ac:dyDescent="0.25">
      <c r="B27" s="17" t="str">
        <f>IF(ROW()-16&lt;=$C$7,"K","")</f>
        <v/>
      </c>
      <c r="C27" s="19" t="str">
        <f t="shared" si="0"/>
        <v/>
      </c>
      <c r="D27" s="20" t="str">
        <f t="shared" si="1"/>
        <v/>
      </c>
      <c r="F27" s="6"/>
    </row>
    <row r="28" spans="2:6" x14ac:dyDescent="0.25">
      <c r="B28" s="17" t="str">
        <f>IF(ROW()-16&lt;=$C$7,"L","")</f>
        <v/>
      </c>
      <c r="C28" s="19" t="str">
        <f t="shared" si="0"/>
        <v/>
      </c>
      <c r="D28" s="20" t="str">
        <f t="shared" si="1"/>
        <v/>
      </c>
      <c r="F28" s="6"/>
    </row>
    <row r="29" spans="2:6" x14ac:dyDescent="0.25">
      <c r="B29" s="17" t="str">
        <f>IF(ROW()-16&lt;=$C$7,"M","")</f>
        <v/>
      </c>
      <c r="C29" s="19" t="str">
        <f t="shared" si="0"/>
        <v/>
      </c>
      <c r="D29" s="20" t="str">
        <f t="shared" si="1"/>
        <v/>
      </c>
      <c r="F29" s="6"/>
    </row>
    <row r="30" spans="2:6" x14ac:dyDescent="0.25">
      <c r="B30" s="17" t="str">
        <f>IF(ROW()-16&lt;=$C$7,"N","")</f>
        <v/>
      </c>
      <c r="C30" s="19" t="str">
        <f t="shared" si="0"/>
        <v/>
      </c>
      <c r="D30" s="20" t="str">
        <f t="shared" si="1"/>
        <v/>
      </c>
      <c r="F30" s="6"/>
    </row>
    <row r="31" spans="2:6" x14ac:dyDescent="0.25">
      <c r="B31" s="17" t="str">
        <f>IF(ROW()-16&lt;=$C$7,"O","")</f>
        <v/>
      </c>
      <c r="C31" s="19" t="str">
        <f t="shared" si="0"/>
        <v/>
      </c>
      <c r="D31" s="20" t="str">
        <f t="shared" si="1"/>
        <v/>
      </c>
    </row>
    <row r="32" spans="2:6" x14ac:dyDescent="0.25">
      <c r="B32" s="17" t="str">
        <f>IF(ROW()-16&lt;=$C$7,"P","")</f>
        <v/>
      </c>
      <c r="C32" s="19" t="str">
        <f t="shared" si="0"/>
        <v/>
      </c>
      <c r="D32" s="20" t="str">
        <f t="shared" si="1"/>
        <v/>
      </c>
    </row>
    <row r="33" spans="2:4" x14ac:dyDescent="0.25">
      <c r="B33" s="17" t="str">
        <f>IF(ROW()-16&lt;=$C$7,"Q","")</f>
        <v/>
      </c>
      <c r="C33" s="19" t="str">
        <f t="shared" si="0"/>
        <v/>
      </c>
      <c r="D33" s="20" t="str">
        <f t="shared" si="1"/>
        <v/>
      </c>
    </row>
    <row r="34" spans="2:4" x14ac:dyDescent="0.25">
      <c r="B34" s="17" t="str">
        <f>IF(ROW()-16&lt;=$C$7,"R","")</f>
        <v/>
      </c>
      <c r="C34" s="19" t="str">
        <f t="shared" si="0"/>
        <v/>
      </c>
      <c r="D34" s="20" t="str">
        <f t="shared" si="1"/>
        <v/>
      </c>
    </row>
    <row r="35" spans="2:4" x14ac:dyDescent="0.25">
      <c r="B35" s="17" t="str">
        <f>IF(ROW()-16&lt;=$C$7,"S","")</f>
        <v/>
      </c>
      <c r="C35" s="19" t="str">
        <f t="shared" si="0"/>
        <v/>
      </c>
      <c r="D35" s="20" t="str">
        <f t="shared" si="1"/>
        <v/>
      </c>
    </row>
    <row r="36" spans="2:4" x14ac:dyDescent="0.25">
      <c r="B36" s="17" t="str">
        <f>IF(ROW()-16&lt;=$C$7,"T","")</f>
        <v/>
      </c>
      <c r="C36" s="19" t="str">
        <f t="shared" si="0"/>
        <v/>
      </c>
      <c r="D36" s="20" t="str">
        <f t="shared" si="1"/>
        <v/>
      </c>
    </row>
    <row r="37" spans="2:4" x14ac:dyDescent="0.25">
      <c r="B37" s="17" t="str">
        <f>IF(ROW()-16&lt;=$C$7,"U","")</f>
        <v/>
      </c>
      <c r="C37" s="19" t="str">
        <f t="shared" si="0"/>
        <v/>
      </c>
      <c r="D37" s="20" t="str">
        <f t="shared" si="1"/>
        <v/>
      </c>
    </row>
    <row r="38" spans="2:4" x14ac:dyDescent="0.25">
      <c r="B38" s="17" t="str">
        <f>IF(ROW()-16&lt;=$C$7,"V","")</f>
        <v/>
      </c>
      <c r="C38" s="19" t="str">
        <f t="shared" si="0"/>
        <v/>
      </c>
      <c r="D38" s="20" t="str">
        <f t="shared" si="1"/>
        <v/>
      </c>
    </row>
    <row r="39" spans="2:4" x14ac:dyDescent="0.25">
      <c r="B39" s="17" t="str">
        <f>IF(ROW()-16&lt;=$C$7,"W","")</f>
        <v/>
      </c>
      <c r="C39" s="19" t="str">
        <f t="shared" si="0"/>
        <v/>
      </c>
      <c r="D39" s="20" t="str">
        <f t="shared" si="1"/>
        <v/>
      </c>
    </row>
    <row r="40" spans="2:4" x14ac:dyDescent="0.25">
      <c r="B40" s="17" t="str">
        <f>IF(ROW()-16&lt;=$C$7,"X","")</f>
        <v/>
      </c>
      <c r="C40" s="19" t="str">
        <f t="shared" si="0"/>
        <v/>
      </c>
      <c r="D40" s="20" t="str">
        <f t="shared" si="1"/>
        <v/>
      </c>
    </row>
    <row r="41" spans="2:4" x14ac:dyDescent="0.25">
      <c r="B41" s="17" t="str">
        <f>IF(ROW()-16&lt;=$C$7,"Y","")</f>
        <v/>
      </c>
      <c r="C41" s="19" t="str">
        <f t="shared" si="0"/>
        <v/>
      </c>
      <c r="D41" s="20" t="str">
        <f t="shared" si="1"/>
        <v/>
      </c>
    </row>
    <row r="42" spans="2:4" x14ac:dyDescent="0.25">
      <c r="B42" s="17" t="str">
        <f>IF(ROW()-16&lt;=$C$7,"Z","")</f>
        <v/>
      </c>
      <c r="C42" s="19" t="str">
        <f t="shared" si="0"/>
        <v/>
      </c>
      <c r="D42" s="20" t="str">
        <f t="shared" si="1"/>
        <v/>
      </c>
    </row>
    <row r="43" spans="2:4" x14ac:dyDescent="0.25">
      <c r="B43" s="5"/>
    </row>
    <row r="44" spans="2:4" x14ac:dyDescent="0.25">
      <c r="B44" s="5"/>
    </row>
    <row r="45" spans="2:4" x14ac:dyDescent="0.25">
      <c r="B45" s="5"/>
    </row>
    <row r="46" spans="2:4" x14ac:dyDescent="0.25">
      <c r="B46" s="5"/>
    </row>
    <row r="47" spans="2:4" x14ac:dyDescent="0.25">
      <c r="B47" s="5"/>
    </row>
    <row r="48" spans="2:4" x14ac:dyDescent="0.25">
      <c r="B48" s="5"/>
    </row>
    <row r="49" spans="2:2" x14ac:dyDescent="0.25">
      <c r="B49" s="5"/>
    </row>
    <row r="50" spans="2:2" x14ac:dyDescent="0.25">
      <c r="B50" s="5"/>
    </row>
    <row r="51" spans="2:2" x14ac:dyDescent="0.25">
      <c r="B51" s="5"/>
    </row>
    <row r="52" spans="2:2" x14ac:dyDescent="0.25">
      <c r="B52" s="5"/>
    </row>
    <row r="53" spans="2:2" x14ac:dyDescent="0.25">
      <c r="B53" s="5"/>
    </row>
    <row r="54" spans="2:2" x14ac:dyDescent="0.25">
      <c r="B54" s="5"/>
    </row>
    <row r="55" spans="2:2" x14ac:dyDescent="0.25">
      <c r="B55" s="5"/>
    </row>
    <row r="56" spans="2:2" x14ac:dyDescent="0.25">
      <c r="B56" s="5"/>
    </row>
    <row r="57" spans="2:2" x14ac:dyDescent="0.25">
      <c r="B57" s="5"/>
    </row>
    <row r="58" spans="2:2" x14ac:dyDescent="0.25">
      <c r="B58" s="5"/>
    </row>
    <row r="59" spans="2:2" x14ac:dyDescent="0.25">
      <c r="B59" s="5"/>
    </row>
    <row r="60" spans="2:2" x14ac:dyDescent="0.25">
      <c r="B60" s="5"/>
    </row>
    <row r="61" spans="2:2" x14ac:dyDescent="0.25">
      <c r="B61" s="5"/>
    </row>
    <row r="62" spans="2:2" x14ac:dyDescent="0.25">
      <c r="B62" s="5"/>
    </row>
    <row r="63" spans="2:2" x14ac:dyDescent="0.25">
      <c r="B63" s="5"/>
    </row>
    <row r="64" spans="2:2" x14ac:dyDescent="0.25">
      <c r="B64" s="5"/>
    </row>
    <row r="65" spans="2:2" x14ac:dyDescent="0.25">
      <c r="B65" s="5"/>
    </row>
    <row r="66" spans="2:2" x14ac:dyDescent="0.25">
      <c r="B66" s="5"/>
    </row>
    <row r="67" spans="2:2" x14ac:dyDescent="0.25">
      <c r="B67" s="5"/>
    </row>
    <row r="68" spans="2:2" x14ac:dyDescent="0.25">
      <c r="B68" s="5"/>
    </row>
    <row r="69" spans="2:2" x14ac:dyDescent="0.25">
      <c r="B69" s="5"/>
    </row>
    <row r="70" spans="2:2" x14ac:dyDescent="0.25">
      <c r="B70" s="5"/>
    </row>
    <row r="71" spans="2:2" x14ac:dyDescent="0.25">
      <c r="B71" s="5"/>
    </row>
    <row r="72" spans="2:2" x14ac:dyDescent="0.25">
      <c r="B72" s="5"/>
    </row>
    <row r="73" spans="2:2" x14ac:dyDescent="0.25">
      <c r="B73" s="5"/>
    </row>
    <row r="74" spans="2:2" x14ac:dyDescent="0.25">
      <c r="B74" s="5"/>
    </row>
    <row r="75" spans="2:2" x14ac:dyDescent="0.25">
      <c r="B75" s="5"/>
    </row>
    <row r="76" spans="2:2" x14ac:dyDescent="0.25">
      <c r="B76" s="5"/>
    </row>
    <row r="77" spans="2:2" x14ac:dyDescent="0.25">
      <c r="B77" s="5"/>
    </row>
    <row r="78" spans="2:2" x14ac:dyDescent="0.25">
      <c r="B78" s="5"/>
    </row>
    <row r="79" spans="2:2" x14ac:dyDescent="0.25">
      <c r="B79" s="5"/>
    </row>
    <row r="80" spans="2:2" x14ac:dyDescent="0.25">
      <c r="B80" s="5"/>
    </row>
    <row r="81" spans="2:2" x14ac:dyDescent="0.25">
      <c r="B81" s="5"/>
    </row>
    <row r="82" spans="2:2" x14ac:dyDescent="0.25">
      <c r="B82" s="5"/>
    </row>
    <row r="83" spans="2:2" x14ac:dyDescent="0.25">
      <c r="B83" s="5"/>
    </row>
    <row r="84" spans="2:2" x14ac:dyDescent="0.25">
      <c r="B84" s="5"/>
    </row>
    <row r="85" spans="2:2" x14ac:dyDescent="0.25">
      <c r="B85" s="5"/>
    </row>
    <row r="86" spans="2:2" x14ac:dyDescent="0.25">
      <c r="B86" s="5"/>
    </row>
    <row r="87" spans="2:2" x14ac:dyDescent="0.25">
      <c r="B87" s="5"/>
    </row>
    <row r="88" spans="2:2" x14ac:dyDescent="0.25">
      <c r="B88" s="5"/>
    </row>
    <row r="89" spans="2:2" x14ac:dyDescent="0.25">
      <c r="B89" s="5"/>
    </row>
    <row r="90" spans="2:2" x14ac:dyDescent="0.25">
      <c r="B90" s="5"/>
    </row>
    <row r="91" spans="2:2" x14ac:dyDescent="0.25">
      <c r="B91" s="5"/>
    </row>
    <row r="92" spans="2:2" x14ac:dyDescent="0.25">
      <c r="B92" s="5"/>
    </row>
    <row r="93" spans="2:2" x14ac:dyDescent="0.25">
      <c r="B93" s="5"/>
    </row>
    <row r="94" spans="2:2" x14ac:dyDescent="0.25">
      <c r="B94" s="5"/>
    </row>
    <row r="95" spans="2:2" x14ac:dyDescent="0.25">
      <c r="B95" s="5"/>
    </row>
    <row r="96" spans="2:2" x14ac:dyDescent="0.25">
      <c r="B96" s="5"/>
    </row>
    <row r="97" spans="2:2" x14ac:dyDescent="0.25">
      <c r="B97" s="5"/>
    </row>
    <row r="98" spans="2:2" x14ac:dyDescent="0.25">
      <c r="B98" s="5"/>
    </row>
    <row r="99" spans="2:2" x14ac:dyDescent="0.25">
      <c r="B99" s="5"/>
    </row>
    <row r="100" spans="2:2" x14ac:dyDescent="0.25">
      <c r="B100" s="5"/>
    </row>
    <row r="101" spans="2:2" x14ac:dyDescent="0.25">
      <c r="B101" s="5"/>
    </row>
    <row r="102" spans="2:2" x14ac:dyDescent="0.25">
      <c r="B102" s="5"/>
    </row>
    <row r="103" spans="2:2" x14ac:dyDescent="0.25">
      <c r="B103" s="5"/>
    </row>
    <row r="104" spans="2:2" x14ac:dyDescent="0.25">
      <c r="B104" s="5"/>
    </row>
    <row r="105" spans="2:2" x14ac:dyDescent="0.25">
      <c r="B105" s="5"/>
    </row>
    <row r="106" spans="2:2" x14ac:dyDescent="0.25">
      <c r="B106" s="5"/>
    </row>
    <row r="107" spans="2:2" x14ac:dyDescent="0.25">
      <c r="B107" s="5"/>
    </row>
    <row r="108" spans="2:2" x14ac:dyDescent="0.25">
      <c r="B108" s="5"/>
    </row>
    <row r="109" spans="2:2" x14ac:dyDescent="0.25">
      <c r="B109" s="5"/>
    </row>
    <row r="110" spans="2:2" x14ac:dyDescent="0.25">
      <c r="B110" s="5"/>
    </row>
    <row r="111" spans="2:2" x14ac:dyDescent="0.25">
      <c r="B111" s="5"/>
    </row>
    <row r="112" spans="2:2" x14ac:dyDescent="0.25">
      <c r="B112" s="5"/>
    </row>
    <row r="113" spans="2:2" x14ac:dyDescent="0.25">
      <c r="B113" s="5"/>
    </row>
    <row r="114" spans="2:2" x14ac:dyDescent="0.25">
      <c r="B114" s="5"/>
    </row>
    <row r="115" spans="2:2" x14ac:dyDescent="0.25">
      <c r="B115" s="5"/>
    </row>
    <row r="116" spans="2:2" x14ac:dyDescent="0.25">
      <c r="B116" s="5"/>
    </row>
    <row r="117" spans="2:2" x14ac:dyDescent="0.25">
      <c r="B117" s="5"/>
    </row>
    <row r="118" spans="2:2" x14ac:dyDescent="0.25">
      <c r="B118" s="5"/>
    </row>
    <row r="119" spans="2:2" x14ac:dyDescent="0.25">
      <c r="B119" s="5"/>
    </row>
    <row r="120" spans="2:2" x14ac:dyDescent="0.25">
      <c r="B120" s="5"/>
    </row>
    <row r="121" spans="2:2" x14ac:dyDescent="0.25">
      <c r="B121" s="5"/>
    </row>
    <row r="122" spans="2:2" x14ac:dyDescent="0.25">
      <c r="B122" s="5"/>
    </row>
    <row r="123" spans="2:2" x14ac:dyDescent="0.25">
      <c r="B123" s="5"/>
    </row>
    <row r="124" spans="2:2" x14ac:dyDescent="0.25">
      <c r="B124" s="5"/>
    </row>
  </sheetData>
  <pageMargins left="0.7" right="0.7" top="0.75" bottom="0.75" header="0.3" footer="0.3"/>
  <pageSetup scale="5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By Chance</vt:lpstr>
      <vt:lpstr>By Wandering</vt:lpstr>
      <vt:lpstr>n Colours</vt:lpstr>
      <vt:lpstr>'By Chance'!Print_Area</vt:lpstr>
      <vt:lpstr>'By Wandering'!Print_Area</vt:lpstr>
      <vt:lpstr>'n Colours'!Print_Area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Dubins</dc:creator>
  <cp:lastModifiedBy>David Dubins</cp:lastModifiedBy>
  <cp:lastPrinted>2023-03-26T14:26:03Z</cp:lastPrinted>
  <dcterms:created xsi:type="dcterms:W3CDTF">2022-12-08T17:29:36Z</dcterms:created>
  <dcterms:modified xsi:type="dcterms:W3CDTF">2023-03-26T14:28:06Z</dcterms:modified>
</cp:coreProperties>
</file>